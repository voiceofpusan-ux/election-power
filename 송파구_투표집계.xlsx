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84" yWindow="504" windowWidth="21792" windowHeight="8652"/>
  </bookViews>
  <sheets>
    <sheet name="송파구 집계" sheetId="1" r:id="rId1"/>
    <sheet name="차트" sheetId="2" r:id="rId2"/>
  </sheets>
  <calcPr calcId="124519"/>
</workbook>
</file>

<file path=xl/calcChain.xml><?xml version="1.0" encoding="utf-8"?>
<calcChain xmlns="http://schemas.openxmlformats.org/spreadsheetml/2006/main">
  <c r="E55" i="2"/>
  <c r="D55"/>
  <c r="E54"/>
  <c r="D54"/>
  <c r="E53"/>
  <c r="D53"/>
  <c r="E52"/>
  <c r="D52"/>
  <c r="E51"/>
  <c r="D51"/>
  <c r="E50"/>
  <c r="D50"/>
  <c r="E49"/>
  <c r="D49"/>
  <c r="E48"/>
  <c r="D48"/>
  <c r="E47"/>
  <c r="D47"/>
  <c r="E46"/>
  <c r="D46"/>
  <c r="E45"/>
  <c r="D45"/>
  <c r="E44"/>
  <c r="D44"/>
  <c r="E43"/>
  <c r="D43"/>
  <c r="E42"/>
  <c r="D42"/>
  <c r="E41"/>
  <c r="D41"/>
  <c r="E40"/>
  <c r="D40"/>
  <c r="E39"/>
  <c r="D39"/>
  <c r="E38"/>
  <c r="D38"/>
  <c r="E37"/>
  <c r="D37"/>
  <c r="E36"/>
  <c r="D36"/>
  <c r="E35"/>
  <c r="D35"/>
  <c r="E34"/>
  <c r="D34"/>
  <c r="E33"/>
  <c r="D33"/>
  <c r="E32"/>
  <c r="D32"/>
  <c r="E31"/>
  <c r="D31"/>
  <c r="E30"/>
  <c r="D30"/>
  <c r="E29"/>
  <c r="D29"/>
  <c r="D5"/>
  <c r="D4"/>
  <c r="E36" i="1"/>
  <c r="E5" i="2" s="1"/>
  <c r="D36" i="1"/>
  <c r="C36"/>
  <c r="C5" i="2" s="1"/>
  <c r="E35" i="1"/>
  <c r="F55" i="2" s="1"/>
  <c r="E34" i="1"/>
  <c r="F54" i="2" s="1"/>
  <c r="E33" i="1"/>
  <c r="F53" i="2" s="1"/>
  <c r="E32" i="1"/>
  <c r="F52" i="2" s="1"/>
  <c r="E31" i="1"/>
  <c r="F51" i="2" s="1"/>
  <c r="E30" i="1"/>
  <c r="F50" i="2" s="1"/>
  <c r="E29" i="1"/>
  <c r="F49" i="2" s="1"/>
  <c r="E28" i="1"/>
  <c r="F48" i="2" s="1"/>
  <c r="E27" i="1"/>
  <c r="F47" i="2" s="1"/>
  <c r="E26" i="1"/>
  <c r="F46" i="2" s="1"/>
  <c r="D24" i="1"/>
  <c r="C24"/>
  <c r="C4" i="2" s="1"/>
  <c r="E23" i="1"/>
  <c r="F45" i="2" s="1"/>
  <c r="E22" i="1"/>
  <c r="F44" i="2" s="1"/>
  <c r="E21" i="1"/>
  <c r="F43" i="2" s="1"/>
  <c r="E20" i="1"/>
  <c r="F42" i="2" s="1"/>
  <c r="E19" i="1"/>
  <c r="F41" i="2" s="1"/>
  <c r="E18" i="1"/>
  <c r="F40" i="2" s="1"/>
  <c r="E17" i="1"/>
  <c r="F39" i="2" s="1"/>
  <c r="E16" i="1"/>
  <c r="F38" i="2" s="1"/>
  <c r="E14" i="1"/>
  <c r="E3" i="2" s="1"/>
  <c r="D14" i="1"/>
  <c r="D37" s="1"/>
  <c r="C14"/>
  <c r="C37" s="1"/>
  <c r="E13"/>
  <c r="F37" i="2" s="1"/>
  <c r="E12" i="1"/>
  <c r="F36" i="2" s="1"/>
  <c r="E11" i="1"/>
  <c r="F35" i="2" s="1"/>
  <c r="E10" i="1"/>
  <c r="F34" i="2" s="1"/>
  <c r="E9" i="1"/>
  <c r="F33" i="2" s="1"/>
  <c r="E8" i="1"/>
  <c r="F32" i="2" s="1"/>
  <c r="E7" i="1"/>
  <c r="F31" i="2" s="1"/>
  <c r="E6" i="1"/>
  <c r="F30" i="2" s="1"/>
  <c r="E5" i="1"/>
  <c r="F29" i="2" s="1"/>
  <c r="E37" i="1" l="1"/>
  <c r="D3" i="2"/>
  <c r="C3"/>
  <c r="E24" i="1"/>
  <c r="E4" i="2" s="1"/>
</calcChain>
</file>

<file path=xl/sharedStrings.xml><?xml version="1.0" encoding="utf-8"?>
<sst xmlns="http://schemas.openxmlformats.org/spreadsheetml/2006/main" count="109" uniqueCount="50">
  <si>
    <t>송파구 투표 집계표</t>
  </si>
  <si>
    <t>※ 당원투표(C열)와 일반(안심번호)(D열)에 숫자를 직접 입력하세요. 합계는 자동 계산됩니다.</t>
  </si>
  <si>
    <t>단위</t>
  </si>
  <si>
    <t>동명</t>
  </si>
  <si>
    <t>당원투표</t>
  </si>
  <si>
    <t>일반(안심번호)</t>
  </si>
  <si>
    <t>합계</t>
  </si>
  <si>
    <t>비고</t>
  </si>
  <si>
    <t>▶  갑선거구  (9개 동)</t>
  </si>
  <si>
    <t>풍납1동</t>
  </si>
  <si>
    <t>풍납2동</t>
  </si>
  <si>
    <t>방이1동</t>
  </si>
  <si>
    <t>방이2동</t>
  </si>
  <si>
    <t>오륜동</t>
  </si>
  <si>
    <t>송파1동</t>
  </si>
  <si>
    <t>송파2동</t>
  </si>
  <si>
    <t>잠실4동</t>
  </si>
  <si>
    <t>잠실6동</t>
  </si>
  <si>
    <t>갑 소계</t>
  </si>
  <si>
    <t>▶  을선거구  (8개 동)</t>
  </si>
  <si>
    <t>잠실본동</t>
  </si>
  <si>
    <t>잠실2동</t>
  </si>
  <si>
    <t>잠실3동</t>
  </si>
  <si>
    <t>잠실7동</t>
  </si>
  <si>
    <t>석촌동</t>
  </si>
  <si>
    <t>삼전동</t>
  </si>
  <si>
    <t>가락1동</t>
  </si>
  <si>
    <t>문정2동</t>
  </si>
  <si>
    <t>을 소계</t>
  </si>
  <si>
    <t>▶  병선거구  (10개 동)</t>
  </si>
  <si>
    <t>거여1동</t>
  </si>
  <si>
    <t>거여2동</t>
  </si>
  <si>
    <t>마천1동</t>
  </si>
  <si>
    <t>마천2동</t>
  </si>
  <si>
    <t>오금동</t>
  </si>
  <si>
    <t>가락본동</t>
  </si>
  <si>
    <t>가락2동</t>
  </si>
  <si>
    <t>문정1동</t>
  </si>
  <si>
    <t>장지동</t>
  </si>
  <si>
    <t>위례동</t>
  </si>
  <si>
    <t>병 소계</t>
  </si>
  <si>
    <t>송파구 전체 합계</t>
  </si>
  <si>
    <t>구분</t>
  </si>
  <si>
    <t>갑선거구</t>
  </si>
  <si>
    <t>을선거구</t>
  </si>
  <si>
    <t>병선거구</t>
  </si>
  <si>
    <t>▶ 동별 세부 현황 (차트 원본 데이터)</t>
  </si>
  <si>
    <t>갑</t>
  </si>
  <si>
    <t>을</t>
  </si>
  <si>
    <t>병</t>
  </si>
</sst>
</file>

<file path=xl/styles.xml><?xml version="1.0" encoding="utf-8"?>
<styleSheet xmlns="http://schemas.openxmlformats.org/spreadsheetml/2006/main">
  <fonts count="13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3"/>
      <charset val="129"/>
    </font>
    <font>
      <i/>
      <sz val="9"/>
      <color rgb="FF4B5563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1E3A5F"/>
      <name val="맑은 고딕"/>
      <family val="3"/>
      <charset val="129"/>
    </font>
    <font>
      <b/>
      <sz val="10"/>
      <color rgb="FF92400E"/>
      <name val="맑은 고딕"/>
      <family val="3"/>
      <charset val="129"/>
    </font>
    <font>
      <b/>
      <sz val="10"/>
      <color rgb="FF065F46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A56DB"/>
      </patternFill>
    </fill>
    <fill>
      <patternFill patternType="solid">
        <fgColor rgb="FFEFF6FF"/>
      </patternFill>
    </fill>
    <fill>
      <patternFill patternType="solid">
        <fgColor rgb="FFB45309"/>
      </patternFill>
    </fill>
    <fill>
      <patternFill patternType="solid">
        <fgColor rgb="FF065F46"/>
      </patternFill>
    </fill>
    <fill>
      <patternFill patternType="solid">
        <fgColor rgb="FF1E429F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F0F9FF"/>
      </patternFill>
    </fill>
    <fill>
      <patternFill patternType="solid">
        <fgColor rgb="FFE1EFFE"/>
      </patternFill>
    </fill>
    <fill>
      <patternFill patternType="solid">
        <fgColor rgb="FF7E3AF2"/>
      </patternFill>
    </fill>
    <fill>
      <patternFill patternType="solid">
        <fgColor rgb="FF0E9F6E"/>
      </patternFill>
    </fill>
  </fills>
  <borders count="3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medium">
        <color rgb="FF9CA3AF"/>
      </left>
      <right style="medium">
        <color rgb="FF9CA3AF"/>
      </right>
      <top style="medium">
        <color rgb="FF9CA3AF"/>
      </top>
      <bottom style="medium">
        <color rgb="FF9CA3A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indent="1"/>
    </xf>
    <xf numFmtId="3" fontId="5" fillId="9" borderId="1" xfId="0" applyNumberFormat="1" applyFont="1" applyFill="1" applyBorder="1" applyAlignment="1">
      <alignment horizontal="center" vertical="center"/>
    </xf>
    <xf numFmtId="3" fontId="6" fillId="10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0" fontId="0" fillId="11" borderId="1" xfId="0" applyFill="1" applyBorder="1"/>
    <xf numFmtId="3" fontId="8" fillId="11" borderId="1" xfId="0" applyNumberFormat="1" applyFont="1" applyFill="1" applyBorder="1" applyAlignment="1">
      <alignment horizontal="center" vertical="center"/>
    </xf>
    <xf numFmtId="3" fontId="9" fillId="11" borderId="1" xfId="0" applyNumberFormat="1" applyFont="1" applyFill="1" applyBorder="1" applyAlignment="1">
      <alignment horizontal="center" vertical="center"/>
    </xf>
    <xf numFmtId="3" fontId="7" fillId="11" borderId="1" xfId="0" applyNumberFormat="1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6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indent="1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indent="2"/>
    </xf>
    <xf numFmtId="0" fontId="4" fillId="12" borderId="2" xfId="0" applyFont="1" applyFill="1" applyBorder="1" applyAlignment="1">
      <alignment horizontal="left" vertical="center" indent="2"/>
    </xf>
    <xf numFmtId="0" fontId="4" fillId="13" borderId="2" xfId="0" applyFont="1" applyFill="1" applyBorder="1" applyAlignment="1">
      <alignment horizontal="left" vertical="center" indent="2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style val="10"/>
  <c:chart>
    <c:title>
      <c:tx>
        <c:rich>
          <a:bodyPr/>
          <a:lstStyle/>
          <a:p>
            <a:pPr>
              <a:defRPr/>
            </a:pPr>
            <a:r>
              <a:t>송파구 선거구별 투표 현황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차트!$C$2</c:f>
              <c:strCache>
                <c:ptCount val="1"/>
                <c:pt idx="0">
                  <c:v>당원투표</c:v>
                </c:pt>
              </c:strCache>
            </c:strRef>
          </c:tx>
          <c:spPr>
            <a:solidFill>
              <a:srgbClr val="1A56DB"/>
            </a:solidFill>
            <a:ln>
              <a:solidFill>
                <a:srgbClr val="1A56DB"/>
              </a:solidFill>
              <a:prstDash val="solid"/>
            </a:ln>
          </c:spPr>
          <c:cat>
            <c:strRef>
              <c:f>차트!$B$3:$B$5</c:f>
              <c:strCache>
                <c:ptCount val="3"/>
                <c:pt idx="0">
                  <c:v>갑선거구</c:v>
                </c:pt>
                <c:pt idx="1">
                  <c:v>을선거구</c:v>
                </c:pt>
                <c:pt idx="2">
                  <c:v>병선거구</c:v>
                </c:pt>
              </c:strCache>
            </c:strRef>
          </c:cat>
          <c:val>
            <c:numRef>
              <c:f>차트!$C$3:$C$5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차트!$D$2</c:f>
              <c:strCache>
                <c:ptCount val="1"/>
                <c:pt idx="0">
                  <c:v>일반(안심번호)</c:v>
                </c:pt>
              </c:strCache>
            </c:strRef>
          </c:tx>
          <c:spPr>
            <a:solidFill>
              <a:srgbClr val="0E9F6E"/>
            </a:solidFill>
            <a:ln>
              <a:solidFill>
                <a:srgbClr val="0E9F6E"/>
              </a:solidFill>
              <a:prstDash val="solid"/>
            </a:ln>
          </c:spPr>
          <c:cat>
            <c:strRef>
              <c:f>차트!$B$3:$B$5</c:f>
              <c:strCache>
                <c:ptCount val="3"/>
                <c:pt idx="0">
                  <c:v>갑선거구</c:v>
                </c:pt>
                <c:pt idx="1">
                  <c:v>을선거구</c:v>
                </c:pt>
                <c:pt idx="2">
                  <c:v>병선거구</c:v>
                </c:pt>
              </c:strCache>
            </c:strRef>
          </c:cat>
          <c:val>
            <c:numRef>
              <c:f>차트!$D$3:$D$5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119979392"/>
        <c:axId val="119948800"/>
      </c:barChart>
      <c:catAx>
        <c:axId val="1199793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선거구</a:t>
                </a:r>
              </a:p>
            </c:rich>
          </c:tx>
        </c:title>
        <c:majorTickMark val="none"/>
        <c:tickLblPos val="nextTo"/>
        <c:crossAx val="119948800"/>
        <c:crosses val="autoZero"/>
        <c:lblAlgn val="ctr"/>
        <c:lblOffset val="100"/>
      </c:catAx>
      <c:valAx>
        <c:axId val="11994880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투표수</a:t>
                </a:r>
              </a:p>
            </c:rich>
          </c:tx>
        </c:title>
        <c:numFmt formatCode="#,##0" sourceLinked="0"/>
        <c:majorTickMark val="none"/>
        <c:tickLblPos val="nextTo"/>
        <c:crossAx val="119979392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style val="10"/>
  <c:chart>
    <c:title>
      <c:tx>
        <c:rich>
          <a:bodyPr/>
          <a:lstStyle/>
          <a:p>
            <a:pPr>
              <a:defRPr/>
            </a:pPr>
            <a:r>
              <a:t>선거구별 누적 합계</a:t>
            </a:r>
          </a:p>
        </c:rich>
      </c:tx>
    </c:title>
    <c:plotArea>
      <c:layout/>
      <c:barChart>
        <c:barDir val="col"/>
        <c:grouping val="stacked"/>
        <c:ser>
          <c:idx val="0"/>
          <c:order val="0"/>
          <c:tx>
            <c:strRef>
              <c:f>차트!$E$2</c:f>
              <c:strCache>
                <c:ptCount val="1"/>
                <c:pt idx="0">
                  <c:v>합계</c:v>
                </c:pt>
              </c:strCache>
            </c:strRef>
          </c:tx>
          <c:spPr>
            <a:solidFill>
              <a:srgbClr val="7E3AF2"/>
            </a:solidFill>
            <a:ln>
              <a:prstDash val="solid"/>
            </a:ln>
          </c:spPr>
          <c:cat>
            <c:strRef>
              <c:f>차트!$B$3:$B$5</c:f>
              <c:strCache>
                <c:ptCount val="3"/>
                <c:pt idx="0">
                  <c:v>갑선거구</c:v>
                </c:pt>
                <c:pt idx="1">
                  <c:v>을선거구</c:v>
                </c:pt>
                <c:pt idx="2">
                  <c:v>병선거구</c:v>
                </c:pt>
              </c:strCache>
            </c:strRef>
          </c:cat>
          <c:val>
            <c:numRef>
              <c:f>차트!$E$3:$E$5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119879168"/>
        <c:axId val="119881088"/>
      </c:barChart>
      <c:catAx>
        <c:axId val="1198791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선거구</a:t>
                </a:r>
              </a:p>
            </c:rich>
          </c:tx>
        </c:title>
        <c:majorTickMark val="none"/>
        <c:tickLblPos val="nextTo"/>
        <c:crossAx val="119881088"/>
        <c:crosses val="autoZero"/>
        <c:lblAlgn val="ctr"/>
        <c:lblOffset val="100"/>
      </c:catAx>
      <c:valAx>
        <c:axId val="119881088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투표수</a:t>
                </a:r>
              </a:p>
            </c:rich>
          </c:tx>
        </c:title>
        <c:numFmt formatCode="#,##0" sourceLinked="0"/>
        <c:majorTickMark val="none"/>
        <c:tickLblPos val="nextTo"/>
        <c:crossAx val="119879168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style val="10"/>
  <c:chart>
    <c:title>
      <c:tx>
        <c:rich>
          <a:bodyPr/>
          <a:lstStyle/>
          <a:p>
            <a:pPr>
              <a:defRPr/>
            </a:pPr>
            <a:r>
              <a:t>동별 투표 현황 (당원 vs 일반)</a:t>
            </a:r>
          </a:p>
        </c:rich>
      </c:tx>
    </c:title>
    <c:plotArea>
      <c:layout/>
      <c:barChart>
        <c:barDir val="bar"/>
        <c:grouping val="clustered"/>
        <c:ser>
          <c:idx val="0"/>
          <c:order val="0"/>
          <c:tx>
            <c:strRef>
              <c:f>차트!$D$28</c:f>
              <c:strCache>
                <c:ptCount val="1"/>
                <c:pt idx="0">
                  <c:v>당원투표</c:v>
                </c:pt>
              </c:strCache>
            </c:strRef>
          </c:tx>
          <c:spPr>
            <a:solidFill>
              <a:srgbClr val="1A56DB"/>
            </a:solidFill>
            <a:ln>
              <a:solidFill>
                <a:srgbClr val="1A56DB"/>
              </a:solidFill>
              <a:prstDash val="solid"/>
            </a:ln>
          </c:spPr>
          <c:cat>
            <c:strRef>
              <c:f>차트!$C$29:$C$55</c:f>
              <c:strCache>
                <c:ptCount val="27"/>
                <c:pt idx="0">
                  <c:v>풍납1동</c:v>
                </c:pt>
                <c:pt idx="1">
                  <c:v>풍납2동</c:v>
                </c:pt>
                <c:pt idx="2">
                  <c:v>방이1동</c:v>
                </c:pt>
                <c:pt idx="3">
                  <c:v>방이2동</c:v>
                </c:pt>
                <c:pt idx="4">
                  <c:v>오륜동</c:v>
                </c:pt>
                <c:pt idx="5">
                  <c:v>송파1동</c:v>
                </c:pt>
                <c:pt idx="6">
                  <c:v>송파2동</c:v>
                </c:pt>
                <c:pt idx="7">
                  <c:v>잠실4동</c:v>
                </c:pt>
                <c:pt idx="8">
                  <c:v>잠실6동</c:v>
                </c:pt>
                <c:pt idx="9">
                  <c:v>잠실본동</c:v>
                </c:pt>
                <c:pt idx="10">
                  <c:v>잠실2동</c:v>
                </c:pt>
                <c:pt idx="11">
                  <c:v>잠실3동</c:v>
                </c:pt>
                <c:pt idx="12">
                  <c:v>잠실7동</c:v>
                </c:pt>
                <c:pt idx="13">
                  <c:v>석촌동</c:v>
                </c:pt>
                <c:pt idx="14">
                  <c:v>삼전동</c:v>
                </c:pt>
                <c:pt idx="15">
                  <c:v>가락1동</c:v>
                </c:pt>
                <c:pt idx="16">
                  <c:v>문정2동</c:v>
                </c:pt>
                <c:pt idx="17">
                  <c:v>거여1동</c:v>
                </c:pt>
                <c:pt idx="18">
                  <c:v>거여2동</c:v>
                </c:pt>
                <c:pt idx="19">
                  <c:v>마천1동</c:v>
                </c:pt>
                <c:pt idx="20">
                  <c:v>마천2동</c:v>
                </c:pt>
                <c:pt idx="21">
                  <c:v>오금동</c:v>
                </c:pt>
                <c:pt idx="22">
                  <c:v>가락본동</c:v>
                </c:pt>
                <c:pt idx="23">
                  <c:v>가락2동</c:v>
                </c:pt>
                <c:pt idx="24">
                  <c:v>문정1동</c:v>
                </c:pt>
                <c:pt idx="25">
                  <c:v>장지동</c:v>
                </c:pt>
                <c:pt idx="26">
                  <c:v>위례동</c:v>
                </c:pt>
              </c:strCache>
            </c:strRef>
          </c:cat>
          <c:val>
            <c:numRef>
              <c:f>차트!$D$29:$D$55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1"/>
          <c:order val="1"/>
          <c:tx>
            <c:strRef>
              <c:f>차트!$E$28</c:f>
              <c:strCache>
                <c:ptCount val="1"/>
                <c:pt idx="0">
                  <c:v>일반(안심번호)</c:v>
                </c:pt>
              </c:strCache>
            </c:strRef>
          </c:tx>
          <c:spPr>
            <a:solidFill>
              <a:srgbClr val="0E9F6E"/>
            </a:solidFill>
            <a:ln>
              <a:solidFill>
                <a:srgbClr val="0E9F6E"/>
              </a:solidFill>
              <a:prstDash val="solid"/>
            </a:ln>
          </c:spPr>
          <c:cat>
            <c:strRef>
              <c:f>차트!$C$29:$C$55</c:f>
              <c:strCache>
                <c:ptCount val="27"/>
                <c:pt idx="0">
                  <c:v>풍납1동</c:v>
                </c:pt>
                <c:pt idx="1">
                  <c:v>풍납2동</c:v>
                </c:pt>
                <c:pt idx="2">
                  <c:v>방이1동</c:v>
                </c:pt>
                <c:pt idx="3">
                  <c:v>방이2동</c:v>
                </c:pt>
                <c:pt idx="4">
                  <c:v>오륜동</c:v>
                </c:pt>
                <c:pt idx="5">
                  <c:v>송파1동</c:v>
                </c:pt>
                <c:pt idx="6">
                  <c:v>송파2동</c:v>
                </c:pt>
                <c:pt idx="7">
                  <c:v>잠실4동</c:v>
                </c:pt>
                <c:pt idx="8">
                  <c:v>잠실6동</c:v>
                </c:pt>
                <c:pt idx="9">
                  <c:v>잠실본동</c:v>
                </c:pt>
                <c:pt idx="10">
                  <c:v>잠실2동</c:v>
                </c:pt>
                <c:pt idx="11">
                  <c:v>잠실3동</c:v>
                </c:pt>
                <c:pt idx="12">
                  <c:v>잠실7동</c:v>
                </c:pt>
                <c:pt idx="13">
                  <c:v>석촌동</c:v>
                </c:pt>
                <c:pt idx="14">
                  <c:v>삼전동</c:v>
                </c:pt>
                <c:pt idx="15">
                  <c:v>가락1동</c:v>
                </c:pt>
                <c:pt idx="16">
                  <c:v>문정2동</c:v>
                </c:pt>
                <c:pt idx="17">
                  <c:v>거여1동</c:v>
                </c:pt>
                <c:pt idx="18">
                  <c:v>거여2동</c:v>
                </c:pt>
                <c:pt idx="19">
                  <c:v>마천1동</c:v>
                </c:pt>
                <c:pt idx="20">
                  <c:v>마천2동</c:v>
                </c:pt>
                <c:pt idx="21">
                  <c:v>오금동</c:v>
                </c:pt>
                <c:pt idx="22">
                  <c:v>가락본동</c:v>
                </c:pt>
                <c:pt idx="23">
                  <c:v>가락2동</c:v>
                </c:pt>
                <c:pt idx="24">
                  <c:v>문정1동</c:v>
                </c:pt>
                <c:pt idx="25">
                  <c:v>장지동</c:v>
                </c:pt>
                <c:pt idx="26">
                  <c:v>위례동</c:v>
                </c:pt>
              </c:strCache>
            </c:strRef>
          </c:cat>
          <c:val>
            <c:numRef>
              <c:f>차트!$E$29:$E$55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axId val="120000896"/>
        <c:axId val="120002816"/>
      </c:barChart>
      <c:catAx>
        <c:axId val="120000896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투표수</a:t>
                </a:r>
              </a:p>
            </c:rich>
          </c:tx>
        </c:title>
        <c:majorTickMark val="none"/>
        <c:tickLblPos val="nextTo"/>
        <c:crossAx val="120002816"/>
        <c:crosses val="autoZero"/>
        <c:lblAlgn val="ctr"/>
        <c:lblOffset val="100"/>
      </c:catAx>
      <c:valAx>
        <c:axId val="120002816"/>
        <c:scaling>
          <c:orientation val="minMax"/>
        </c:scaling>
        <c:axPos val="b"/>
        <c:majorGridlines/>
        <c:numFmt formatCode="#,##0" sourceLinked="0"/>
        <c:majorTickMark val="none"/>
        <c:tickLblPos val="nextTo"/>
        <c:crossAx val="120000896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7200000" cy="504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6</xdr:row>
      <xdr:rowOff>0</xdr:rowOff>
    </xdr:from>
    <xdr:ext cx="5040000" cy="5040000"/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30</xdr:row>
      <xdr:rowOff>0</xdr:rowOff>
    </xdr:from>
    <xdr:ext cx="10080000" cy="10800000"/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showGridLines="0" tabSelected="1" workbookViewId="0">
      <pane ySplit="3" topLeftCell="A4" activePane="bottomLeft" state="frozen"/>
      <selection pane="bottomLeft" sqref="A1:F1"/>
    </sheetView>
  </sheetViews>
  <sheetFormatPr defaultRowHeight="17.399999999999999"/>
  <cols>
    <col min="1" max="1" width="6" customWidth="1"/>
    <col min="2" max="2" width="14" customWidth="1"/>
    <col min="3" max="3" width="12" customWidth="1"/>
    <col min="4" max="4" width="14" customWidth="1"/>
    <col min="5" max="5" width="12" customWidth="1"/>
    <col min="6" max="6" width="16" customWidth="1"/>
  </cols>
  <sheetData>
    <row r="1" spans="1:6" ht="36" customHeight="1">
      <c r="A1" s="22" t="s">
        <v>0</v>
      </c>
      <c r="B1" s="21"/>
      <c r="C1" s="21"/>
      <c r="D1" s="21"/>
      <c r="E1" s="21"/>
      <c r="F1" s="21"/>
    </row>
    <row r="2" spans="1:6" ht="19.95" customHeight="1">
      <c r="A2" s="20" t="s">
        <v>1</v>
      </c>
      <c r="B2" s="21"/>
      <c r="C2" s="21"/>
      <c r="D2" s="21"/>
      <c r="E2" s="21"/>
      <c r="F2" s="21"/>
    </row>
    <row r="3" spans="1:6" ht="22.05" customHeight="1">
      <c r="A3" s="1" t="s">
        <v>2</v>
      </c>
      <c r="B3" s="1" t="s">
        <v>3</v>
      </c>
      <c r="C3" s="2" t="s">
        <v>4</v>
      </c>
      <c r="D3" s="3" t="s">
        <v>5</v>
      </c>
      <c r="E3" s="1" t="s">
        <v>6</v>
      </c>
      <c r="F3" s="1" t="s">
        <v>7</v>
      </c>
    </row>
    <row r="4" spans="1:6" ht="24" customHeight="1">
      <c r="A4" s="25" t="s">
        <v>8</v>
      </c>
      <c r="B4" s="21"/>
      <c r="C4" s="21"/>
      <c r="D4" s="21"/>
      <c r="E4" s="21"/>
      <c r="F4" s="21"/>
    </row>
    <row r="5" spans="1:6" ht="19.95" customHeight="1">
      <c r="A5" s="4"/>
      <c r="B5" s="5" t="s">
        <v>9</v>
      </c>
      <c r="C5" s="6">
        <v>0</v>
      </c>
      <c r="D5" s="6">
        <v>0</v>
      </c>
      <c r="E5" s="7">
        <f t="shared" ref="E5:E14" si="0">C5+D5</f>
        <v>0</v>
      </c>
      <c r="F5" s="8"/>
    </row>
    <row r="6" spans="1:6" ht="19.95" customHeight="1">
      <c r="A6" s="4"/>
      <c r="B6" s="5" t="s">
        <v>10</v>
      </c>
      <c r="C6" s="6">
        <v>0</v>
      </c>
      <c r="D6" s="6">
        <v>0</v>
      </c>
      <c r="E6" s="7">
        <f t="shared" si="0"/>
        <v>0</v>
      </c>
      <c r="F6" s="8"/>
    </row>
    <row r="7" spans="1:6" ht="19.95" customHeight="1">
      <c r="A7" s="4"/>
      <c r="B7" s="5" t="s">
        <v>11</v>
      </c>
      <c r="C7" s="6">
        <v>0</v>
      </c>
      <c r="D7" s="6">
        <v>0</v>
      </c>
      <c r="E7" s="7">
        <f t="shared" si="0"/>
        <v>0</v>
      </c>
      <c r="F7" s="8"/>
    </row>
    <row r="8" spans="1:6" ht="19.95" customHeight="1">
      <c r="A8" s="4"/>
      <c r="B8" s="5" t="s">
        <v>12</v>
      </c>
      <c r="C8" s="6">
        <v>0</v>
      </c>
      <c r="D8" s="6">
        <v>0</v>
      </c>
      <c r="E8" s="7">
        <f t="shared" si="0"/>
        <v>0</v>
      </c>
      <c r="F8" s="8"/>
    </row>
    <row r="9" spans="1:6" ht="19.95" customHeight="1">
      <c r="A9" s="4"/>
      <c r="B9" s="5" t="s">
        <v>13</v>
      </c>
      <c r="C9" s="6">
        <v>0</v>
      </c>
      <c r="D9" s="6">
        <v>0</v>
      </c>
      <c r="E9" s="7">
        <f t="shared" si="0"/>
        <v>0</v>
      </c>
      <c r="F9" s="8"/>
    </row>
    <row r="10" spans="1:6" ht="19.95" customHeight="1">
      <c r="A10" s="4"/>
      <c r="B10" s="5" t="s">
        <v>14</v>
      </c>
      <c r="C10" s="6">
        <v>0</v>
      </c>
      <c r="D10" s="6">
        <v>0</v>
      </c>
      <c r="E10" s="7">
        <f t="shared" si="0"/>
        <v>0</v>
      </c>
      <c r="F10" s="8"/>
    </row>
    <row r="11" spans="1:6" ht="19.95" customHeight="1">
      <c r="A11" s="4"/>
      <c r="B11" s="5" t="s">
        <v>15</v>
      </c>
      <c r="C11" s="6">
        <v>0</v>
      </c>
      <c r="D11" s="6">
        <v>0</v>
      </c>
      <c r="E11" s="7">
        <f t="shared" si="0"/>
        <v>0</v>
      </c>
      <c r="F11" s="8"/>
    </row>
    <row r="12" spans="1:6" ht="19.95" customHeight="1">
      <c r="A12" s="4"/>
      <c r="B12" s="5" t="s">
        <v>16</v>
      </c>
      <c r="C12" s="6">
        <v>0</v>
      </c>
      <c r="D12" s="6">
        <v>0</v>
      </c>
      <c r="E12" s="7">
        <f t="shared" si="0"/>
        <v>0</v>
      </c>
      <c r="F12" s="8"/>
    </row>
    <row r="13" spans="1:6" ht="19.95" customHeight="1">
      <c r="A13" s="4"/>
      <c r="B13" s="5" t="s">
        <v>17</v>
      </c>
      <c r="C13" s="6">
        <v>0</v>
      </c>
      <c r="D13" s="6">
        <v>0</v>
      </c>
      <c r="E13" s="7">
        <f t="shared" si="0"/>
        <v>0</v>
      </c>
      <c r="F13" s="8"/>
    </row>
    <row r="14" spans="1:6" ht="22.05" customHeight="1">
      <c r="A14" s="9"/>
      <c r="B14" s="24" t="s">
        <v>18</v>
      </c>
      <c r="C14" s="10">
        <f>SUM(C4:C13)</f>
        <v>0</v>
      </c>
      <c r="D14" s="11">
        <f>SUM(D4:D13)</f>
        <v>0</v>
      </c>
      <c r="E14" s="12">
        <f t="shared" si="0"/>
        <v>0</v>
      </c>
      <c r="F14" s="9"/>
    </row>
    <row r="15" spans="1:6" ht="24" customHeight="1">
      <c r="A15" s="26" t="s">
        <v>19</v>
      </c>
      <c r="B15" s="21"/>
      <c r="C15" s="21"/>
      <c r="D15" s="21"/>
      <c r="E15" s="21"/>
      <c r="F15" s="21"/>
    </row>
    <row r="16" spans="1:6" ht="19.95" customHeight="1">
      <c r="A16" s="4"/>
      <c r="B16" s="5" t="s">
        <v>20</v>
      </c>
      <c r="C16" s="6">
        <v>0</v>
      </c>
      <c r="D16" s="6">
        <v>0</v>
      </c>
      <c r="E16" s="7">
        <f t="shared" ref="E16:E24" si="1">C16+D16</f>
        <v>0</v>
      </c>
      <c r="F16" s="8"/>
    </row>
    <row r="17" spans="1:6" ht="19.95" customHeight="1">
      <c r="A17" s="4"/>
      <c r="B17" s="5" t="s">
        <v>21</v>
      </c>
      <c r="C17" s="6">
        <v>0</v>
      </c>
      <c r="D17" s="6">
        <v>0</v>
      </c>
      <c r="E17" s="7">
        <f t="shared" si="1"/>
        <v>0</v>
      </c>
      <c r="F17" s="8"/>
    </row>
    <row r="18" spans="1:6" ht="19.95" customHeight="1">
      <c r="A18" s="4"/>
      <c r="B18" s="5" t="s">
        <v>22</v>
      </c>
      <c r="C18" s="6">
        <v>0</v>
      </c>
      <c r="D18" s="6">
        <v>0</v>
      </c>
      <c r="E18" s="7">
        <f t="shared" si="1"/>
        <v>0</v>
      </c>
      <c r="F18" s="8"/>
    </row>
    <row r="19" spans="1:6" ht="19.95" customHeight="1">
      <c r="A19" s="4"/>
      <c r="B19" s="5" t="s">
        <v>23</v>
      </c>
      <c r="C19" s="6">
        <v>0</v>
      </c>
      <c r="D19" s="6">
        <v>0</v>
      </c>
      <c r="E19" s="7">
        <f t="shared" si="1"/>
        <v>0</v>
      </c>
      <c r="F19" s="8"/>
    </row>
    <row r="20" spans="1:6" ht="19.95" customHeight="1">
      <c r="A20" s="4"/>
      <c r="B20" s="5" t="s">
        <v>24</v>
      </c>
      <c r="C20" s="6">
        <v>0</v>
      </c>
      <c r="D20" s="6">
        <v>0</v>
      </c>
      <c r="E20" s="7">
        <f t="shared" si="1"/>
        <v>0</v>
      </c>
      <c r="F20" s="8"/>
    </row>
    <row r="21" spans="1:6" ht="19.95" customHeight="1">
      <c r="A21" s="4"/>
      <c r="B21" s="5" t="s">
        <v>25</v>
      </c>
      <c r="C21" s="6">
        <v>0</v>
      </c>
      <c r="D21" s="6">
        <v>0</v>
      </c>
      <c r="E21" s="7">
        <f t="shared" si="1"/>
        <v>0</v>
      </c>
      <c r="F21" s="8"/>
    </row>
    <row r="22" spans="1:6" ht="19.95" customHeight="1">
      <c r="A22" s="4"/>
      <c r="B22" s="5" t="s">
        <v>26</v>
      </c>
      <c r="C22" s="6">
        <v>0</v>
      </c>
      <c r="D22" s="6">
        <v>0</v>
      </c>
      <c r="E22" s="7">
        <f t="shared" si="1"/>
        <v>0</v>
      </c>
      <c r="F22" s="8"/>
    </row>
    <row r="23" spans="1:6" ht="19.95" customHeight="1">
      <c r="A23" s="4"/>
      <c r="B23" s="5" t="s">
        <v>27</v>
      </c>
      <c r="C23" s="6">
        <v>0</v>
      </c>
      <c r="D23" s="6">
        <v>0</v>
      </c>
      <c r="E23" s="7">
        <f t="shared" si="1"/>
        <v>0</v>
      </c>
      <c r="F23" s="8"/>
    </row>
    <row r="24" spans="1:6" ht="22.05" customHeight="1">
      <c r="A24" s="9"/>
      <c r="B24" s="24" t="s">
        <v>28</v>
      </c>
      <c r="C24" s="10">
        <f>SUM(C15:C23)</f>
        <v>0</v>
      </c>
      <c r="D24" s="11">
        <f>SUM(D15:D23)</f>
        <v>0</v>
      </c>
      <c r="E24" s="12">
        <f t="shared" si="1"/>
        <v>0</v>
      </c>
      <c r="F24" s="9"/>
    </row>
    <row r="25" spans="1:6" ht="24" customHeight="1">
      <c r="A25" s="27" t="s">
        <v>29</v>
      </c>
      <c r="B25" s="21"/>
      <c r="C25" s="21"/>
      <c r="D25" s="21"/>
      <c r="E25" s="21"/>
      <c r="F25" s="21"/>
    </row>
    <row r="26" spans="1:6" ht="19.95" customHeight="1">
      <c r="A26" s="4"/>
      <c r="B26" s="5" t="s">
        <v>30</v>
      </c>
      <c r="C26" s="6">
        <v>0</v>
      </c>
      <c r="D26" s="6">
        <v>0</v>
      </c>
      <c r="E26" s="7">
        <f t="shared" ref="E26:E37" si="2">C26+D26</f>
        <v>0</v>
      </c>
      <c r="F26" s="8"/>
    </row>
    <row r="27" spans="1:6" ht="19.95" customHeight="1">
      <c r="A27" s="4"/>
      <c r="B27" s="5" t="s">
        <v>31</v>
      </c>
      <c r="C27" s="6">
        <v>0</v>
      </c>
      <c r="D27" s="6">
        <v>0</v>
      </c>
      <c r="E27" s="7">
        <f t="shared" si="2"/>
        <v>0</v>
      </c>
      <c r="F27" s="8"/>
    </row>
    <row r="28" spans="1:6" ht="19.95" customHeight="1">
      <c r="A28" s="4"/>
      <c r="B28" s="5" t="s">
        <v>32</v>
      </c>
      <c r="C28" s="6">
        <v>0</v>
      </c>
      <c r="D28" s="6">
        <v>0</v>
      </c>
      <c r="E28" s="7">
        <f t="shared" si="2"/>
        <v>0</v>
      </c>
      <c r="F28" s="8"/>
    </row>
    <row r="29" spans="1:6" ht="19.95" customHeight="1">
      <c r="A29" s="4"/>
      <c r="B29" s="5" t="s">
        <v>33</v>
      </c>
      <c r="C29" s="6">
        <v>0</v>
      </c>
      <c r="D29" s="6">
        <v>0</v>
      </c>
      <c r="E29" s="7">
        <f t="shared" si="2"/>
        <v>0</v>
      </c>
      <c r="F29" s="8"/>
    </row>
    <row r="30" spans="1:6" ht="19.95" customHeight="1">
      <c r="A30" s="4"/>
      <c r="B30" s="5" t="s">
        <v>34</v>
      </c>
      <c r="C30" s="6">
        <v>0</v>
      </c>
      <c r="D30" s="6">
        <v>0</v>
      </c>
      <c r="E30" s="7">
        <f t="shared" si="2"/>
        <v>0</v>
      </c>
      <c r="F30" s="8"/>
    </row>
    <row r="31" spans="1:6" ht="19.95" customHeight="1">
      <c r="A31" s="4"/>
      <c r="B31" s="5" t="s">
        <v>35</v>
      </c>
      <c r="C31" s="6">
        <v>0</v>
      </c>
      <c r="D31" s="6">
        <v>0</v>
      </c>
      <c r="E31" s="7">
        <f t="shared" si="2"/>
        <v>0</v>
      </c>
      <c r="F31" s="8"/>
    </row>
    <row r="32" spans="1:6" ht="19.95" customHeight="1">
      <c r="A32" s="4"/>
      <c r="B32" s="5" t="s">
        <v>36</v>
      </c>
      <c r="C32" s="6">
        <v>0</v>
      </c>
      <c r="D32" s="6">
        <v>0</v>
      </c>
      <c r="E32" s="7">
        <f t="shared" si="2"/>
        <v>0</v>
      </c>
      <c r="F32" s="8"/>
    </row>
    <row r="33" spans="1:6" ht="19.95" customHeight="1">
      <c r="A33" s="4"/>
      <c r="B33" s="5" t="s">
        <v>37</v>
      </c>
      <c r="C33" s="6">
        <v>0</v>
      </c>
      <c r="D33" s="6">
        <v>0</v>
      </c>
      <c r="E33" s="7">
        <f t="shared" si="2"/>
        <v>0</v>
      </c>
      <c r="F33" s="8"/>
    </row>
    <row r="34" spans="1:6" ht="19.95" customHeight="1">
      <c r="A34" s="4"/>
      <c r="B34" s="5" t="s">
        <v>38</v>
      </c>
      <c r="C34" s="6">
        <v>0</v>
      </c>
      <c r="D34" s="6">
        <v>0</v>
      </c>
      <c r="E34" s="7">
        <f t="shared" si="2"/>
        <v>0</v>
      </c>
      <c r="F34" s="8"/>
    </row>
    <row r="35" spans="1:6" ht="19.95" customHeight="1">
      <c r="A35" s="4"/>
      <c r="B35" s="5" t="s">
        <v>39</v>
      </c>
      <c r="C35" s="6">
        <v>0</v>
      </c>
      <c r="D35" s="6">
        <v>0</v>
      </c>
      <c r="E35" s="7">
        <f t="shared" si="2"/>
        <v>0</v>
      </c>
      <c r="F35" s="8"/>
    </row>
    <row r="36" spans="1:6" ht="22.05" customHeight="1">
      <c r="A36" s="9"/>
      <c r="B36" s="24" t="s">
        <v>40</v>
      </c>
      <c r="C36" s="10">
        <f>SUM(C25:C35)</f>
        <v>0</v>
      </c>
      <c r="D36" s="11">
        <f>SUM(D25:D35)</f>
        <v>0</v>
      </c>
      <c r="E36" s="12">
        <f t="shared" si="2"/>
        <v>0</v>
      </c>
      <c r="F36" s="9"/>
    </row>
    <row r="37" spans="1:6" ht="25.95" customHeight="1">
      <c r="A37" s="23" t="s">
        <v>41</v>
      </c>
      <c r="B37" s="21"/>
      <c r="C37" s="13">
        <f>C14+C24+C36</f>
        <v>0</v>
      </c>
      <c r="D37" s="13">
        <f>D14+D24+D36</f>
        <v>0</v>
      </c>
      <c r="E37" s="13">
        <f t="shared" si="2"/>
        <v>0</v>
      </c>
      <c r="F37" s="14"/>
    </row>
  </sheetData>
  <mergeCells count="9">
    <mergeCell ref="A2:F2"/>
    <mergeCell ref="A1:F1"/>
    <mergeCell ref="A37:B37"/>
    <mergeCell ref="B24"/>
    <mergeCell ref="A4:F4"/>
    <mergeCell ref="B36"/>
    <mergeCell ref="B14"/>
    <mergeCell ref="A15:F15"/>
    <mergeCell ref="A25:F25"/>
  </mergeCells>
  <phoneticPr fontId="1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F55"/>
  <sheetViews>
    <sheetView showGridLines="0" workbookViewId="0"/>
  </sheetViews>
  <sheetFormatPr defaultRowHeight="17.399999999999999"/>
  <cols>
    <col min="1" max="1" width="2" customWidth="1"/>
  </cols>
  <sheetData>
    <row r="2" spans="2:5">
      <c r="B2" s="1" t="s">
        <v>42</v>
      </c>
      <c r="C2" s="1" t="s">
        <v>4</v>
      </c>
      <c r="D2" s="1" t="s">
        <v>5</v>
      </c>
      <c r="E2" s="1" t="s">
        <v>6</v>
      </c>
    </row>
    <row r="3" spans="2:5">
      <c r="B3" s="15" t="s">
        <v>43</v>
      </c>
      <c r="C3" s="16">
        <f>'송파구 집계'!C14</f>
        <v>0</v>
      </c>
      <c r="D3" s="16">
        <f>'송파구 집계'!D14</f>
        <v>0</v>
      </c>
      <c r="E3" s="16">
        <f>'송파구 집계'!E14</f>
        <v>0</v>
      </c>
    </row>
    <row r="4" spans="2:5">
      <c r="B4" s="15" t="s">
        <v>44</v>
      </c>
      <c r="C4" s="16">
        <f>'송파구 집계'!C24</f>
        <v>0</v>
      </c>
      <c r="D4" s="16">
        <f>'송파구 집계'!D24</f>
        <v>0</v>
      </c>
      <c r="E4" s="16">
        <f>'송파구 집계'!E24</f>
        <v>0</v>
      </c>
    </row>
    <row r="5" spans="2:5">
      <c r="B5" s="15" t="s">
        <v>45</v>
      </c>
      <c r="C5" s="16">
        <f>'송파구 집계'!C36</f>
        <v>0</v>
      </c>
      <c r="D5" s="16">
        <f>'송파구 집계'!D36</f>
        <v>0</v>
      </c>
      <c r="E5" s="16">
        <f>'송파구 집계'!E36</f>
        <v>0</v>
      </c>
    </row>
    <row r="27" spans="2:6">
      <c r="B27" s="17" t="s">
        <v>46</v>
      </c>
    </row>
    <row r="28" spans="2:6">
      <c r="B28" s="1" t="s">
        <v>2</v>
      </c>
      <c r="C28" s="1" t="s">
        <v>3</v>
      </c>
      <c r="D28" s="1" t="s">
        <v>4</v>
      </c>
      <c r="E28" s="1" t="s">
        <v>5</v>
      </c>
      <c r="F28" s="1" t="s">
        <v>6</v>
      </c>
    </row>
    <row r="29" spans="2:6">
      <c r="B29" s="18" t="s">
        <v>47</v>
      </c>
      <c r="C29" s="19" t="s">
        <v>9</v>
      </c>
      <c r="D29" s="16">
        <f>'송파구 집계'!C5</f>
        <v>0</v>
      </c>
      <c r="E29" s="16">
        <f>'송파구 집계'!D5</f>
        <v>0</v>
      </c>
      <c r="F29" s="16">
        <f>'송파구 집계'!E5</f>
        <v>0</v>
      </c>
    </row>
    <row r="30" spans="2:6">
      <c r="B30" s="18" t="s">
        <v>47</v>
      </c>
      <c r="C30" s="19" t="s">
        <v>10</v>
      </c>
      <c r="D30" s="16">
        <f>'송파구 집계'!C6</f>
        <v>0</v>
      </c>
      <c r="E30" s="16">
        <f>'송파구 집계'!D6</f>
        <v>0</v>
      </c>
      <c r="F30" s="16">
        <f>'송파구 집계'!E6</f>
        <v>0</v>
      </c>
    </row>
    <row r="31" spans="2:6">
      <c r="B31" s="18" t="s">
        <v>47</v>
      </c>
      <c r="C31" s="19" t="s">
        <v>11</v>
      </c>
      <c r="D31" s="16">
        <f>'송파구 집계'!C7</f>
        <v>0</v>
      </c>
      <c r="E31" s="16">
        <f>'송파구 집계'!D7</f>
        <v>0</v>
      </c>
      <c r="F31" s="16">
        <f>'송파구 집계'!E7</f>
        <v>0</v>
      </c>
    </row>
    <row r="32" spans="2:6">
      <c r="B32" s="18" t="s">
        <v>47</v>
      </c>
      <c r="C32" s="19" t="s">
        <v>12</v>
      </c>
      <c r="D32" s="16">
        <f>'송파구 집계'!C8</f>
        <v>0</v>
      </c>
      <c r="E32" s="16">
        <f>'송파구 집계'!D8</f>
        <v>0</v>
      </c>
      <c r="F32" s="16">
        <f>'송파구 집계'!E8</f>
        <v>0</v>
      </c>
    </row>
    <row r="33" spans="2:6">
      <c r="B33" s="18" t="s">
        <v>47</v>
      </c>
      <c r="C33" s="19" t="s">
        <v>13</v>
      </c>
      <c r="D33" s="16">
        <f>'송파구 집계'!C9</f>
        <v>0</v>
      </c>
      <c r="E33" s="16">
        <f>'송파구 집계'!D9</f>
        <v>0</v>
      </c>
      <c r="F33" s="16">
        <f>'송파구 집계'!E9</f>
        <v>0</v>
      </c>
    </row>
    <row r="34" spans="2:6">
      <c r="B34" s="18" t="s">
        <v>47</v>
      </c>
      <c r="C34" s="19" t="s">
        <v>14</v>
      </c>
      <c r="D34" s="16">
        <f>'송파구 집계'!C10</f>
        <v>0</v>
      </c>
      <c r="E34" s="16">
        <f>'송파구 집계'!D10</f>
        <v>0</v>
      </c>
      <c r="F34" s="16">
        <f>'송파구 집계'!E10</f>
        <v>0</v>
      </c>
    </row>
    <row r="35" spans="2:6">
      <c r="B35" s="18" t="s">
        <v>47</v>
      </c>
      <c r="C35" s="19" t="s">
        <v>15</v>
      </c>
      <c r="D35" s="16">
        <f>'송파구 집계'!C11</f>
        <v>0</v>
      </c>
      <c r="E35" s="16">
        <f>'송파구 집계'!D11</f>
        <v>0</v>
      </c>
      <c r="F35" s="16">
        <f>'송파구 집계'!E11</f>
        <v>0</v>
      </c>
    </row>
    <row r="36" spans="2:6">
      <c r="B36" s="18" t="s">
        <v>47</v>
      </c>
      <c r="C36" s="19" t="s">
        <v>16</v>
      </c>
      <c r="D36" s="16">
        <f>'송파구 집계'!C12</f>
        <v>0</v>
      </c>
      <c r="E36" s="16">
        <f>'송파구 집계'!D12</f>
        <v>0</v>
      </c>
      <c r="F36" s="16">
        <f>'송파구 집계'!E12</f>
        <v>0</v>
      </c>
    </row>
    <row r="37" spans="2:6">
      <c r="B37" s="18" t="s">
        <v>47</v>
      </c>
      <c r="C37" s="19" t="s">
        <v>17</v>
      </c>
      <c r="D37" s="16">
        <f>'송파구 집계'!C13</f>
        <v>0</v>
      </c>
      <c r="E37" s="16">
        <f>'송파구 집계'!D13</f>
        <v>0</v>
      </c>
      <c r="F37" s="16">
        <f>'송파구 집계'!E13</f>
        <v>0</v>
      </c>
    </row>
    <row r="38" spans="2:6">
      <c r="B38" s="18" t="s">
        <v>48</v>
      </c>
      <c r="C38" s="19" t="s">
        <v>20</v>
      </c>
      <c r="D38" s="16">
        <f>'송파구 집계'!C16</f>
        <v>0</v>
      </c>
      <c r="E38" s="16">
        <f>'송파구 집계'!D16</f>
        <v>0</v>
      </c>
      <c r="F38" s="16">
        <f>'송파구 집계'!E16</f>
        <v>0</v>
      </c>
    </row>
    <row r="39" spans="2:6">
      <c r="B39" s="18" t="s">
        <v>48</v>
      </c>
      <c r="C39" s="19" t="s">
        <v>21</v>
      </c>
      <c r="D39" s="16">
        <f>'송파구 집계'!C17</f>
        <v>0</v>
      </c>
      <c r="E39" s="16">
        <f>'송파구 집계'!D17</f>
        <v>0</v>
      </c>
      <c r="F39" s="16">
        <f>'송파구 집계'!E17</f>
        <v>0</v>
      </c>
    </row>
    <row r="40" spans="2:6">
      <c r="B40" s="18" t="s">
        <v>48</v>
      </c>
      <c r="C40" s="19" t="s">
        <v>22</v>
      </c>
      <c r="D40" s="16">
        <f>'송파구 집계'!C18</f>
        <v>0</v>
      </c>
      <c r="E40" s="16">
        <f>'송파구 집계'!D18</f>
        <v>0</v>
      </c>
      <c r="F40" s="16">
        <f>'송파구 집계'!E18</f>
        <v>0</v>
      </c>
    </row>
    <row r="41" spans="2:6">
      <c r="B41" s="18" t="s">
        <v>48</v>
      </c>
      <c r="C41" s="19" t="s">
        <v>23</v>
      </c>
      <c r="D41" s="16">
        <f>'송파구 집계'!C19</f>
        <v>0</v>
      </c>
      <c r="E41" s="16">
        <f>'송파구 집계'!D19</f>
        <v>0</v>
      </c>
      <c r="F41" s="16">
        <f>'송파구 집계'!E19</f>
        <v>0</v>
      </c>
    </row>
    <row r="42" spans="2:6">
      <c r="B42" s="18" t="s">
        <v>48</v>
      </c>
      <c r="C42" s="19" t="s">
        <v>24</v>
      </c>
      <c r="D42" s="16">
        <f>'송파구 집계'!C20</f>
        <v>0</v>
      </c>
      <c r="E42" s="16">
        <f>'송파구 집계'!D20</f>
        <v>0</v>
      </c>
      <c r="F42" s="16">
        <f>'송파구 집계'!E20</f>
        <v>0</v>
      </c>
    </row>
    <row r="43" spans="2:6">
      <c r="B43" s="18" t="s">
        <v>48</v>
      </c>
      <c r="C43" s="19" t="s">
        <v>25</v>
      </c>
      <c r="D43" s="16">
        <f>'송파구 집계'!C21</f>
        <v>0</v>
      </c>
      <c r="E43" s="16">
        <f>'송파구 집계'!D21</f>
        <v>0</v>
      </c>
      <c r="F43" s="16">
        <f>'송파구 집계'!E21</f>
        <v>0</v>
      </c>
    </row>
    <row r="44" spans="2:6">
      <c r="B44" s="18" t="s">
        <v>48</v>
      </c>
      <c r="C44" s="19" t="s">
        <v>26</v>
      </c>
      <c r="D44" s="16">
        <f>'송파구 집계'!C22</f>
        <v>0</v>
      </c>
      <c r="E44" s="16">
        <f>'송파구 집계'!D22</f>
        <v>0</v>
      </c>
      <c r="F44" s="16">
        <f>'송파구 집계'!E22</f>
        <v>0</v>
      </c>
    </row>
    <row r="45" spans="2:6">
      <c r="B45" s="18" t="s">
        <v>48</v>
      </c>
      <c r="C45" s="19" t="s">
        <v>27</v>
      </c>
      <c r="D45" s="16">
        <f>'송파구 집계'!C23</f>
        <v>0</v>
      </c>
      <c r="E45" s="16">
        <f>'송파구 집계'!D23</f>
        <v>0</v>
      </c>
      <c r="F45" s="16">
        <f>'송파구 집계'!E23</f>
        <v>0</v>
      </c>
    </row>
    <row r="46" spans="2:6">
      <c r="B46" s="18" t="s">
        <v>49</v>
      </c>
      <c r="C46" s="19" t="s">
        <v>30</v>
      </c>
      <c r="D46" s="16">
        <f>'송파구 집계'!C26</f>
        <v>0</v>
      </c>
      <c r="E46" s="16">
        <f>'송파구 집계'!D26</f>
        <v>0</v>
      </c>
      <c r="F46" s="16">
        <f>'송파구 집계'!E26</f>
        <v>0</v>
      </c>
    </row>
    <row r="47" spans="2:6">
      <c r="B47" s="18" t="s">
        <v>49</v>
      </c>
      <c r="C47" s="19" t="s">
        <v>31</v>
      </c>
      <c r="D47" s="16">
        <f>'송파구 집계'!C27</f>
        <v>0</v>
      </c>
      <c r="E47" s="16">
        <f>'송파구 집계'!D27</f>
        <v>0</v>
      </c>
      <c r="F47" s="16">
        <f>'송파구 집계'!E27</f>
        <v>0</v>
      </c>
    </row>
    <row r="48" spans="2:6">
      <c r="B48" s="18" t="s">
        <v>49</v>
      </c>
      <c r="C48" s="19" t="s">
        <v>32</v>
      </c>
      <c r="D48" s="16">
        <f>'송파구 집계'!C28</f>
        <v>0</v>
      </c>
      <c r="E48" s="16">
        <f>'송파구 집계'!D28</f>
        <v>0</v>
      </c>
      <c r="F48" s="16">
        <f>'송파구 집계'!E28</f>
        <v>0</v>
      </c>
    </row>
    <row r="49" spans="2:6">
      <c r="B49" s="18" t="s">
        <v>49</v>
      </c>
      <c r="C49" s="19" t="s">
        <v>33</v>
      </c>
      <c r="D49" s="16">
        <f>'송파구 집계'!C29</f>
        <v>0</v>
      </c>
      <c r="E49" s="16">
        <f>'송파구 집계'!D29</f>
        <v>0</v>
      </c>
      <c r="F49" s="16">
        <f>'송파구 집계'!E29</f>
        <v>0</v>
      </c>
    </row>
    <row r="50" spans="2:6">
      <c r="B50" s="18" t="s">
        <v>49</v>
      </c>
      <c r="C50" s="19" t="s">
        <v>34</v>
      </c>
      <c r="D50" s="16">
        <f>'송파구 집계'!C30</f>
        <v>0</v>
      </c>
      <c r="E50" s="16">
        <f>'송파구 집계'!D30</f>
        <v>0</v>
      </c>
      <c r="F50" s="16">
        <f>'송파구 집계'!E30</f>
        <v>0</v>
      </c>
    </row>
    <row r="51" spans="2:6">
      <c r="B51" s="18" t="s">
        <v>49</v>
      </c>
      <c r="C51" s="19" t="s">
        <v>35</v>
      </c>
      <c r="D51" s="16">
        <f>'송파구 집계'!C31</f>
        <v>0</v>
      </c>
      <c r="E51" s="16">
        <f>'송파구 집계'!D31</f>
        <v>0</v>
      </c>
      <c r="F51" s="16">
        <f>'송파구 집계'!E31</f>
        <v>0</v>
      </c>
    </row>
    <row r="52" spans="2:6">
      <c r="B52" s="18" t="s">
        <v>49</v>
      </c>
      <c r="C52" s="19" t="s">
        <v>36</v>
      </c>
      <c r="D52" s="16">
        <f>'송파구 집계'!C32</f>
        <v>0</v>
      </c>
      <c r="E52" s="16">
        <f>'송파구 집계'!D32</f>
        <v>0</v>
      </c>
      <c r="F52" s="16">
        <f>'송파구 집계'!E32</f>
        <v>0</v>
      </c>
    </row>
    <row r="53" spans="2:6">
      <c r="B53" s="18" t="s">
        <v>49</v>
      </c>
      <c r="C53" s="19" t="s">
        <v>37</v>
      </c>
      <c r="D53" s="16">
        <f>'송파구 집계'!C33</f>
        <v>0</v>
      </c>
      <c r="E53" s="16">
        <f>'송파구 집계'!D33</f>
        <v>0</v>
      </c>
      <c r="F53" s="16">
        <f>'송파구 집계'!E33</f>
        <v>0</v>
      </c>
    </row>
    <row r="54" spans="2:6">
      <c r="B54" s="18" t="s">
        <v>49</v>
      </c>
      <c r="C54" s="19" t="s">
        <v>38</v>
      </c>
      <c r="D54" s="16">
        <f>'송파구 집계'!C34</f>
        <v>0</v>
      </c>
      <c r="E54" s="16">
        <f>'송파구 집계'!D34</f>
        <v>0</v>
      </c>
      <c r="F54" s="16">
        <f>'송파구 집계'!E34</f>
        <v>0</v>
      </c>
    </row>
    <row r="55" spans="2:6">
      <c r="B55" s="18" t="s">
        <v>49</v>
      </c>
      <c r="C55" s="19" t="s">
        <v>39</v>
      </c>
      <c r="D55" s="16">
        <f>'송파구 집계'!C35</f>
        <v>0</v>
      </c>
      <c r="E55" s="16">
        <f>'송파구 집계'!D35</f>
        <v>0</v>
      </c>
      <c r="F55" s="16">
        <f>'송파구 집계'!E35</f>
        <v>0</v>
      </c>
    </row>
  </sheetData>
  <phoneticPr fontId="1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송파구 집계</vt:lpstr>
      <vt:lpstr>차트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2026-04-25T08:46:06Z</dcterms:created>
  <dcterms:modified xsi:type="dcterms:W3CDTF">2026-04-25T08:47:40Z</dcterms:modified>
</cp:coreProperties>
</file>